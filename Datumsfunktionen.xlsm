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kas\OneDrive\Dokumente\Dev\VBA Bausteine\"/>
    </mc:Choice>
  </mc:AlternateContent>
  <xr:revisionPtr revIDLastSave="385" documentId="6_{4966B30E-4640-49EE-98BC-8A221CFF141D}" xr6:coauthVersionLast="43" xr6:coauthVersionMax="43" xr10:uidLastSave="{69DED83C-9D74-4F98-BB9B-2EEA36F8AF02}"/>
  <bookViews>
    <workbookView xWindow="-120" yWindow="-120" windowWidth="29040" windowHeight="15990" xr2:uid="{F97E0599-8106-4413-AC87-CCF37E92BFFD}"/>
  </bookViews>
  <sheets>
    <sheet name="Dem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1" i="1" l="1"/>
  <c r="E23" i="1"/>
  <c r="E31" i="1"/>
  <c r="E29" i="1"/>
  <c r="E37" i="1"/>
  <c r="E35" i="1"/>
  <c r="E19" i="1"/>
  <c r="E28" i="1"/>
  <c r="E36" i="1"/>
  <c r="E34" i="1"/>
  <c r="E18" i="1"/>
  <c r="E27" i="1"/>
  <c r="E14" i="1"/>
  <c r="E32" i="1"/>
  <c r="E17" i="1"/>
  <c r="E22" i="1"/>
  <c r="E13" i="1"/>
  <c r="E26" i="1"/>
  <c r="E33" i="1"/>
  <c r="E16" i="1"/>
  <c r="E21" i="1"/>
  <c r="E25" i="1"/>
  <c r="E20" i="1"/>
  <c r="E15" i="1"/>
  <c r="E39" i="1"/>
  <c r="E24" i="1"/>
  <c r="E30" i="1"/>
  <c r="E40" i="1"/>
  <c r="E38" i="1"/>
</calcChain>
</file>

<file path=xl/sharedStrings.xml><?xml version="1.0" encoding="utf-8"?>
<sst xmlns="http://schemas.openxmlformats.org/spreadsheetml/2006/main" count="163" uniqueCount="57">
  <si>
    <t xml:space="preserve">VBA-Paket Datumsfunktionen </t>
  </si>
  <si>
    <t xml:space="preserve">Vielen Dank für Ihr Interesse und das Herunterladen des VBA-Pakets! Dieses Paket enthält: </t>
  </si>
  <si>
    <r>
      <t xml:space="preserve">- das Modul </t>
    </r>
    <r>
      <rPr>
        <b/>
        <sz val="11"/>
        <color theme="1"/>
        <rFont val="Calibri"/>
        <family val="2"/>
        <scheme val="minor"/>
      </rPr>
      <t>basDateFunctions</t>
    </r>
    <r>
      <rPr>
        <sz val="11"/>
        <color theme="1"/>
        <rFont val="Calibri"/>
        <family val="2"/>
        <scheme val="minor"/>
      </rPr>
      <t xml:space="preserve"> mit hilfreichen Funktionen zur Verarbeitung von Daten und</t>
    </r>
  </si>
  <si>
    <r>
      <t xml:space="preserve">- das Modul </t>
    </r>
    <r>
      <rPr>
        <b/>
        <sz val="11"/>
        <color theme="1"/>
        <rFont val="Calibri"/>
        <family val="2"/>
        <scheme val="minor"/>
      </rPr>
      <t>basHolidayFunctions</t>
    </r>
    <r>
      <rPr>
        <sz val="11"/>
        <color theme="1"/>
        <rFont val="Calibri"/>
        <family val="2"/>
        <scheme val="minor"/>
      </rPr>
      <t xml:space="preserve"> mit Funktionen zu deutschen Feiertagen. </t>
    </r>
  </si>
  <si>
    <t xml:space="preserve">Zur Installation können Sie die Module in Ihre Arbeitsmappe(n) importieren oder den Quellcode in eigene Module kopieren. </t>
  </si>
  <si>
    <t xml:space="preserve">Hier eine Liste der enthaltenen Funktionen: </t>
  </si>
  <si>
    <t>Modul</t>
  </si>
  <si>
    <t>Funktion</t>
  </si>
  <si>
    <t xml:space="preserve">Beispiel </t>
  </si>
  <si>
    <t xml:space="preserve">Eingabe </t>
  </si>
  <si>
    <t>Ausgabe</t>
  </si>
  <si>
    <t xml:space="preserve">Erläuterung </t>
  </si>
  <si>
    <t>Eingabewerte</t>
  </si>
  <si>
    <t>Rückgabewerte</t>
  </si>
  <si>
    <t>basDateFunctions</t>
  </si>
  <si>
    <t>IsLeapYear</t>
  </si>
  <si>
    <t xml:space="preserve">Prüft, ob ein Jahr ein Schaltjahr ist </t>
  </si>
  <si>
    <t xml:space="preserve">year (Jahr, Integer) </t>
  </si>
  <si>
    <t>Boolean</t>
  </si>
  <si>
    <t>DateWithoutSeparators</t>
  </si>
  <si>
    <t xml:space="preserve">Wandelt ohne Punkte eingegebene Datumswerte um </t>
  </si>
  <si>
    <t xml:space="preserve">rawdate (Daum, String) </t>
  </si>
  <si>
    <t>Date</t>
  </si>
  <si>
    <t>basHolidayFunctions</t>
  </si>
  <si>
    <t>Heiligabend</t>
  </si>
  <si>
    <t>ErsterWeihnachtstag</t>
  </si>
  <si>
    <t>ZweiterWeihnachtstag</t>
  </si>
  <si>
    <t>Sylvester</t>
  </si>
  <si>
    <t>Neujahr</t>
  </si>
  <si>
    <t>DreiKoenigsTag</t>
  </si>
  <si>
    <t>TagDerArbeit</t>
  </si>
  <si>
    <t>Friedensfest</t>
  </si>
  <si>
    <t>MariaeHimmelfahrt</t>
  </si>
  <si>
    <t>TagDerDtEinheit</t>
  </si>
  <si>
    <t>Allerheiligen</t>
  </si>
  <si>
    <t>Reformationstag</t>
  </si>
  <si>
    <t>OsterSonntag</t>
  </si>
  <si>
    <t>ErsterAdvent</t>
  </si>
  <si>
    <t>Aschermittwoch</t>
  </si>
  <si>
    <t>Karfreitag</t>
  </si>
  <si>
    <t>Karsamstag</t>
  </si>
  <si>
    <t>OsterMontag</t>
  </si>
  <si>
    <t>ChristiHimmelfahrt</t>
  </si>
  <si>
    <t>PfingstSonntag</t>
  </si>
  <si>
    <t>PfingstMontag</t>
  </si>
  <si>
    <t>Fronleichnam</t>
  </si>
  <si>
    <t>BussUndBettag</t>
  </si>
  <si>
    <t>ZweiterAdvent</t>
  </si>
  <si>
    <t>DritterAdvent</t>
  </si>
  <si>
    <t>VierterAdvent</t>
  </si>
  <si>
    <t xml:space="preserve">Gibt das Datum des jeweiligen Feiertags zurück </t>
  </si>
  <si>
    <t>IsHoliday</t>
  </si>
  <si>
    <t>BY</t>
  </si>
  <si>
    <t xml:space="preserve">Prüft, ob ein Datum ein Feiertag ist </t>
  </si>
  <si>
    <t>datum (Datum, Date); bland (Bundeslandkürzel, String)</t>
  </si>
  <si>
    <t>ListHolidays</t>
  </si>
  <si>
    <t xml:space="preserve">Listet alle Feiertage eines Jahres auf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</si>
</sst>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14" fontId="0" fillId="0" borderId="0" xfId="0" applyNumberFormat="1"/>
    <xf numFmtId="14" fontId="1" fillId="0" borderId="0" xfId="1" applyNumberFormat="1"/>
    <xf numFmtId="14" fontId="0" fillId="0" borderId="0" xfId="0" quotePrefix="1" applyNumberFormat="1" applyAlignment="1">
      <alignment horizontal="left" indent="1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Standard" xfId="0" builtinId="0"/>
    <cellStyle name="Überschrift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739DC-E49E-415F-B5E9-EDBD3FF88577}">
  <sheetPr codeName="Demo"/>
  <dimension ref="A1:H42"/>
  <sheetViews>
    <sheetView tabSelected="1" topLeftCell="A9" workbookViewId="0">
      <selection activeCell="E17" sqref="E17"/>
    </sheetView>
  </sheetViews>
  <sheetFormatPr baseColWidth="10" defaultRowHeight="15" x14ac:dyDescent="0.25"/>
  <cols>
    <col min="1" max="1" width="24.85546875" customWidth="1"/>
    <col min="2" max="2" width="22.28515625" customWidth="1"/>
    <col min="3" max="4" width="11.42578125" style="5"/>
    <col min="5" max="5" width="12" style="5" customWidth="1"/>
    <col min="6" max="6" width="49.5703125" bestFit="1" customWidth="1"/>
    <col min="7" max="7" width="50.42578125" bestFit="1" customWidth="1"/>
    <col min="8" max="8" width="14.7109375" bestFit="1" customWidth="1"/>
  </cols>
  <sheetData>
    <row r="1" spans="1:8" ht="23.25" x14ac:dyDescent="0.35">
      <c r="A1" s="2" t="s">
        <v>0</v>
      </c>
    </row>
    <row r="2" spans="1:8" x14ac:dyDescent="0.25">
      <c r="A2" s="1"/>
    </row>
    <row r="3" spans="1:8" x14ac:dyDescent="0.25">
      <c r="A3" s="1" t="s">
        <v>1</v>
      </c>
    </row>
    <row r="4" spans="1:8" x14ac:dyDescent="0.25">
      <c r="A4" s="3" t="s">
        <v>2</v>
      </c>
    </row>
    <row r="5" spans="1:8" x14ac:dyDescent="0.25">
      <c r="A5" s="3" t="s">
        <v>3</v>
      </c>
      <c r="C5" s="4"/>
    </row>
    <row r="6" spans="1:8" x14ac:dyDescent="0.25">
      <c r="A6" s="1"/>
    </row>
    <row r="7" spans="1:8" x14ac:dyDescent="0.25">
      <c r="A7" s="1" t="s">
        <v>4</v>
      </c>
    </row>
    <row r="8" spans="1:8" x14ac:dyDescent="0.25">
      <c r="A8" s="1"/>
    </row>
    <row r="9" spans="1:8" x14ac:dyDescent="0.25">
      <c r="A9" s="1" t="s">
        <v>5</v>
      </c>
    </row>
    <row r="10" spans="1:8" x14ac:dyDescent="0.25">
      <c r="A10" s="1"/>
    </row>
    <row r="11" spans="1:8" x14ac:dyDescent="0.25">
      <c r="A11" s="7" t="s">
        <v>6</v>
      </c>
      <c r="B11" s="6" t="s">
        <v>7</v>
      </c>
      <c r="C11" s="8" t="s">
        <v>8</v>
      </c>
      <c r="D11" s="8"/>
      <c r="E11" s="8"/>
      <c r="F11" s="6" t="s">
        <v>11</v>
      </c>
      <c r="G11" s="6" t="s">
        <v>12</v>
      </c>
      <c r="H11" s="6" t="s">
        <v>13</v>
      </c>
    </row>
    <row r="12" spans="1:8" x14ac:dyDescent="0.25">
      <c r="A12" s="7"/>
      <c r="B12" s="6"/>
      <c r="C12" s="8" t="s">
        <v>9</v>
      </c>
      <c r="D12" s="8"/>
      <c r="E12" s="5" t="s">
        <v>10</v>
      </c>
      <c r="F12" s="6"/>
      <c r="G12" s="6"/>
      <c r="H12" s="6"/>
    </row>
    <row r="13" spans="1:8" x14ac:dyDescent="0.25">
      <c r="A13" s="1" t="s">
        <v>14</v>
      </c>
      <c r="B13" t="s">
        <v>15</v>
      </c>
      <c r="C13" s="5">
        <v>2018</v>
      </c>
      <c r="E13" s="5" t="b">
        <f>IsLeapYear(C13)</f>
        <v>0</v>
      </c>
      <c r="F13" t="s">
        <v>16</v>
      </c>
      <c r="G13" t="s">
        <v>17</v>
      </c>
      <c r="H13" t="s">
        <v>18</v>
      </c>
    </row>
    <row r="14" spans="1:8" x14ac:dyDescent="0.25">
      <c r="A14" s="1" t="s">
        <v>14</v>
      </c>
      <c r="B14" t="s">
        <v>19</v>
      </c>
      <c r="C14" s="5">
        <v>11122018</v>
      </c>
      <c r="E14" s="4">
        <f>DateWithoutSeparators(C14)</f>
        <v>43445</v>
      </c>
      <c r="F14" s="1" t="s">
        <v>20</v>
      </c>
      <c r="G14" t="s">
        <v>21</v>
      </c>
      <c r="H14" t="s">
        <v>22</v>
      </c>
    </row>
    <row r="15" spans="1:8" x14ac:dyDescent="0.25">
      <c r="A15" s="1" t="s">
        <v>23</v>
      </c>
      <c r="B15" t="s">
        <v>28</v>
      </c>
      <c r="C15" s="5">
        <v>2018</v>
      </c>
      <c r="E15" s="4">
        <f>Neujahr(C15)</f>
        <v>43101</v>
      </c>
      <c r="F15" s="1" t="s">
        <v>50</v>
      </c>
      <c r="G15" t="s">
        <v>17</v>
      </c>
      <c r="H15" t="s">
        <v>22</v>
      </c>
    </row>
    <row r="16" spans="1:8" x14ac:dyDescent="0.25">
      <c r="A16" s="1" t="s">
        <v>23</v>
      </c>
      <c r="B16" t="s">
        <v>29</v>
      </c>
      <c r="C16" s="5">
        <v>2018</v>
      </c>
      <c r="E16" s="4">
        <f>DreiKoenigsTag(C16)</f>
        <v>43106</v>
      </c>
      <c r="F16" s="1" t="s">
        <v>50</v>
      </c>
      <c r="G16" t="s">
        <v>17</v>
      </c>
      <c r="H16" t="s">
        <v>22</v>
      </c>
    </row>
    <row r="17" spans="1:8" x14ac:dyDescent="0.25">
      <c r="A17" s="1" t="s">
        <v>23</v>
      </c>
      <c r="B17" t="s">
        <v>38</v>
      </c>
      <c r="C17" s="5">
        <v>2018</v>
      </c>
      <c r="E17" s="4">
        <f>Aschermittwoch(C17)</f>
        <v>43145</v>
      </c>
      <c r="F17" s="1" t="s">
        <v>50</v>
      </c>
      <c r="G17" t="s">
        <v>17</v>
      </c>
      <c r="H17" t="s">
        <v>22</v>
      </c>
    </row>
    <row r="18" spans="1:8" x14ac:dyDescent="0.25">
      <c r="A18" s="1" t="s">
        <v>23</v>
      </c>
      <c r="B18" t="s">
        <v>39</v>
      </c>
      <c r="C18" s="5">
        <v>2018</v>
      </c>
      <c r="E18" s="4">
        <f>Karfreitag(C18)</f>
        <v>43189</v>
      </c>
      <c r="F18" s="1" t="s">
        <v>50</v>
      </c>
      <c r="G18" t="s">
        <v>17</v>
      </c>
      <c r="H18" t="s">
        <v>22</v>
      </c>
    </row>
    <row r="19" spans="1:8" x14ac:dyDescent="0.25">
      <c r="A19" s="1" t="s">
        <v>23</v>
      </c>
      <c r="B19" t="s">
        <v>40</v>
      </c>
      <c r="C19" s="5">
        <v>2018</v>
      </c>
      <c r="E19" s="4">
        <f>Karsamstag(C19)</f>
        <v>43190</v>
      </c>
      <c r="F19" s="1" t="s">
        <v>50</v>
      </c>
      <c r="G19" t="s">
        <v>17</v>
      </c>
      <c r="H19" t="s">
        <v>22</v>
      </c>
    </row>
    <row r="20" spans="1:8" x14ac:dyDescent="0.25">
      <c r="A20" s="1" t="s">
        <v>23</v>
      </c>
      <c r="B20" t="s">
        <v>36</v>
      </c>
      <c r="C20" s="5">
        <v>2018</v>
      </c>
      <c r="E20" s="4">
        <f>OsterSonntag(C20)</f>
        <v>43191</v>
      </c>
      <c r="F20" s="1" t="s">
        <v>50</v>
      </c>
      <c r="G20" t="s">
        <v>17</v>
      </c>
      <c r="H20" t="s">
        <v>22</v>
      </c>
    </row>
    <row r="21" spans="1:8" x14ac:dyDescent="0.25">
      <c r="A21" s="1" t="s">
        <v>23</v>
      </c>
      <c r="B21" t="s">
        <v>41</v>
      </c>
      <c r="C21" s="5">
        <v>2018</v>
      </c>
      <c r="E21" s="4">
        <f>OsterMontag(C21)</f>
        <v>43192</v>
      </c>
      <c r="F21" s="1" t="s">
        <v>50</v>
      </c>
      <c r="G21" t="s">
        <v>17</v>
      </c>
      <c r="H21" t="s">
        <v>22</v>
      </c>
    </row>
    <row r="22" spans="1:8" x14ac:dyDescent="0.25">
      <c r="A22" s="1" t="s">
        <v>23</v>
      </c>
      <c r="B22" t="s">
        <v>30</v>
      </c>
      <c r="C22" s="5">
        <v>2018</v>
      </c>
      <c r="E22" s="4">
        <f>TagDerArbeit(C22)</f>
        <v>43221</v>
      </c>
      <c r="F22" s="1" t="s">
        <v>50</v>
      </c>
      <c r="G22" t="s">
        <v>17</v>
      </c>
      <c r="H22" t="s">
        <v>22</v>
      </c>
    </row>
    <row r="23" spans="1:8" x14ac:dyDescent="0.25">
      <c r="A23" s="1" t="s">
        <v>23</v>
      </c>
      <c r="B23" t="s">
        <v>42</v>
      </c>
      <c r="C23" s="5">
        <v>2018</v>
      </c>
      <c r="E23" s="4">
        <f>ChristiHimmelfahrt(C23)</f>
        <v>43230</v>
      </c>
      <c r="F23" s="1" t="s">
        <v>50</v>
      </c>
      <c r="G23" t="s">
        <v>17</v>
      </c>
      <c r="H23" t="s">
        <v>22</v>
      </c>
    </row>
    <row r="24" spans="1:8" x14ac:dyDescent="0.25">
      <c r="A24" s="1" t="s">
        <v>23</v>
      </c>
      <c r="B24" t="s">
        <v>43</v>
      </c>
      <c r="C24" s="5">
        <v>2018</v>
      </c>
      <c r="E24" s="4">
        <f>PfingstSonntag(C24)</f>
        <v>43240</v>
      </c>
      <c r="F24" s="1" t="s">
        <v>50</v>
      </c>
      <c r="G24" t="s">
        <v>17</v>
      </c>
      <c r="H24" t="s">
        <v>22</v>
      </c>
    </row>
    <row r="25" spans="1:8" x14ac:dyDescent="0.25">
      <c r="A25" s="1" t="s">
        <v>23</v>
      </c>
      <c r="B25" t="s">
        <v>44</v>
      </c>
      <c r="C25" s="5">
        <v>2018</v>
      </c>
      <c r="E25" s="4">
        <f>PfingstMontag(C25)</f>
        <v>43241</v>
      </c>
      <c r="F25" s="1" t="s">
        <v>50</v>
      </c>
      <c r="G25" t="s">
        <v>17</v>
      </c>
      <c r="H25" t="s">
        <v>22</v>
      </c>
    </row>
    <row r="26" spans="1:8" x14ac:dyDescent="0.25">
      <c r="A26" s="1" t="s">
        <v>23</v>
      </c>
      <c r="B26" t="s">
        <v>45</v>
      </c>
      <c r="C26" s="5">
        <v>2018</v>
      </c>
      <c r="E26" s="4">
        <f>Fronleichnam(C26)</f>
        <v>43251</v>
      </c>
      <c r="F26" s="1" t="s">
        <v>50</v>
      </c>
      <c r="G26" t="s">
        <v>17</v>
      </c>
      <c r="H26" t="s">
        <v>22</v>
      </c>
    </row>
    <row r="27" spans="1:8" x14ac:dyDescent="0.25">
      <c r="A27" s="1" t="s">
        <v>23</v>
      </c>
      <c r="B27" t="s">
        <v>31</v>
      </c>
      <c r="C27" s="5">
        <v>2018</v>
      </c>
      <c r="E27" s="4">
        <f>Friedensfest(C27)</f>
        <v>43320</v>
      </c>
      <c r="F27" s="1" t="s">
        <v>50</v>
      </c>
      <c r="G27" t="s">
        <v>17</v>
      </c>
      <c r="H27" t="s">
        <v>22</v>
      </c>
    </row>
    <row r="28" spans="1:8" x14ac:dyDescent="0.25">
      <c r="A28" s="1" t="s">
        <v>23</v>
      </c>
      <c r="B28" t="s">
        <v>32</v>
      </c>
      <c r="C28" s="5">
        <v>2018</v>
      </c>
      <c r="E28" s="4">
        <f>MariaeHimmelfahrt(C28)</f>
        <v>43327</v>
      </c>
      <c r="F28" s="1" t="s">
        <v>50</v>
      </c>
      <c r="G28" t="s">
        <v>17</v>
      </c>
      <c r="H28" t="s">
        <v>22</v>
      </c>
    </row>
    <row r="29" spans="1:8" x14ac:dyDescent="0.25">
      <c r="A29" s="1" t="s">
        <v>23</v>
      </c>
      <c r="B29" t="s">
        <v>33</v>
      </c>
      <c r="C29" s="5">
        <v>2018</v>
      </c>
      <c r="E29" s="4">
        <f>TagDerDtEinheit(C29)</f>
        <v>43376</v>
      </c>
      <c r="F29" s="1" t="s">
        <v>50</v>
      </c>
      <c r="G29" t="s">
        <v>17</v>
      </c>
      <c r="H29" t="s">
        <v>22</v>
      </c>
    </row>
    <row r="30" spans="1:8" x14ac:dyDescent="0.25">
      <c r="A30" s="1" t="s">
        <v>23</v>
      </c>
      <c r="B30" t="s">
        <v>35</v>
      </c>
      <c r="C30" s="5">
        <v>2018</v>
      </c>
      <c r="E30" s="4">
        <f>Reformationstag(C30)</f>
        <v>43404</v>
      </c>
      <c r="F30" s="1" t="s">
        <v>50</v>
      </c>
      <c r="G30" t="s">
        <v>17</v>
      </c>
      <c r="H30" t="s">
        <v>22</v>
      </c>
    </row>
    <row r="31" spans="1:8" x14ac:dyDescent="0.25">
      <c r="A31" s="1" t="s">
        <v>23</v>
      </c>
      <c r="B31" t="s">
        <v>34</v>
      </c>
      <c r="C31" s="5">
        <v>2018</v>
      </c>
      <c r="E31" s="4">
        <f>Allerheiligen(C31)</f>
        <v>43405</v>
      </c>
      <c r="F31" s="1" t="s">
        <v>50</v>
      </c>
      <c r="G31" t="s">
        <v>17</v>
      </c>
      <c r="H31" t="s">
        <v>22</v>
      </c>
    </row>
    <row r="32" spans="1:8" x14ac:dyDescent="0.25">
      <c r="A32" s="1" t="s">
        <v>23</v>
      </c>
      <c r="B32" t="s">
        <v>46</v>
      </c>
      <c r="C32" s="5">
        <v>2018</v>
      </c>
      <c r="E32" s="4">
        <f>BussUndBettag(C32)</f>
        <v>43425</v>
      </c>
      <c r="F32" s="1" t="s">
        <v>50</v>
      </c>
      <c r="G32" t="s">
        <v>17</v>
      </c>
      <c r="H32" t="s">
        <v>22</v>
      </c>
    </row>
    <row r="33" spans="1:8" x14ac:dyDescent="0.25">
      <c r="A33" s="1" t="s">
        <v>23</v>
      </c>
      <c r="B33" t="s">
        <v>37</v>
      </c>
      <c r="C33" s="5">
        <v>2018</v>
      </c>
      <c r="E33" s="4">
        <f>ErsterAdvent(C33)</f>
        <v>43436</v>
      </c>
      <c r="F33" s="1" t="s">
        <v>50</v>
      </c>
      <c r="G33" t="s">
        <v>17</v>
      </c>
      <c r="H33" t="s">
        <v>22</v>
      </c>
    </row>
    <row r="34" spans="1:8" x14ac:dyDescent="0.25">
      <c r="A34" s="1" t="s">
        <v>23</v>
      </c>
      <c r="B34" t="s">
        <v>47</v>
      </c>
      <c r="C34" s="5">
        <v>2018</v>
      </c>
      <c r="E34" s="4">
        <f>ZweiterAdvent(C34)</f>
        <v>43443</v>
      </c>
      <c r="F34" s="1" t="s">
        <v>50</v>
      </c>
      <c r="G34" t="s">
        <v>17</v>
      </c>
      <c r="H34" t="s">
        <v>22</v>
      </c>
    </row>
    <row r="35" spans="1:8" x14ac:dyDescent="0.25">
      <c r="A35" s="1" t="s">
        <v>23</v>
      </c>
      <c r="B35" t="s">
        <v>48</v>
      </c>
      <c r="C35" s="5">
        <v>2018</v>
      </c>
      <c r="E35" s="4">
        <f>DritterAdvent(C35)</f>
        <v>43450</v>
      </c>
      <c r="F35" s="1" t="s">
        <v>50</v>
      </c>
      <c r="G35" t="s">
        <v>17</v>
      </c>
      <c r="H35" t="s">
        <v>22</v>
      </c>
    </row>
    <row r="36" spans="1:8" x14ac:dyDescent="0.25">
      <c r="A36" s="1" t="s">
        <v>23</v>
      </c>
      <c r="B36" t="s">
        <v>24</v>
      </c>
      <c r="C36" s="5">
        <v>2018</v>
      </c>
      <c r="E36" s="4">
        <f>Heiligabend(C36)</f>
        <v>43458</v>
      </c>
      <c r="F36" s="1" t="s">
        <v>50</v>
      </c>
      <c r="G36" t="s">
        <v>17</v>
      </c>
      <c r="H36" t="s">
        <v>22</v>
      </c>
    </row>
    <row r="37" spans="1:8" x14ac:dyDescent="0.25">
      <c r="A37" s="1" t="s">
        <v>23</v>
      </c>
      <c r="B37" t="s">
        <v>49</v>
      </c>
      <c r="C37" s="5">
        <v>2018</v>
      </c>
      <c r="E37" s="4">
        <f>VierterAdvent(C37)</f>
        <v>43457</v>
      </c>
      <c r="F37" s="1" t="s">
        <v>50</v>
      </c>
      <c r="G37" t="s">
        <v>17</v>
      </c>
      <c r="H37" t="s">
        <v>22</v>
      </c>
    </row>
    <row r="38" spans="1:8" x14ac:dyDescent="0.25">
      <c r="A38" s="1" t="s">
        <v>23</v>
      </c>
      <c r="B38" t="s">
        <v>25</v>
      </c>
      <c r="C38" s="5">
        <v>2018</v>
      </c>
      <c r="E38" s="4">
        <f>ErsterWeihnachtstag(C38)</f>
        <v>43459</v>
      </c>
      <c r="F38" s="1" t="s">
        <v>50</v>
      </c>
      <c r="G38" t="s">
        <v>17</v>
      </c>
      <c r="H38" t="s">
        <v>22</v>
      </c>
    </row>
    <row r="39" spans="1:8" x14ac:dyDescent="0.25">
      <c r="A39" s="1" t="s">
        <v>23</v>
      </c>
      <c r="B39" t="s">
        <v>26</v>
      </c>
      <c r="C39" s="5">
        <v>2018</v>
      </c>
      <c r="E39" s="4">
        <f>ZweiterWeihnachtstag(C39)</f>
        <v>43460</v>
      </c>
      <c r="F39" s="1" t="s">
        <v>50</v>
      </c>
      <c r="G39" t="s">
        <v>17</v>
      </c>
      <c r="H39" t="s">
        <v>22</v>
      </c>
    </row>
    <row r="40" spans="1:8" x14ac:dyDescent="0.25">
      <c r="A40" s="1" t="s">
        <v>23</v>
      </c>
      <c r="B40" t="s">
        <v>27</v>
      </c>
      <c r="C40" s="5">
        <v>2018</v>
      </c>
      <c r="E40" s="4">
        <f>Sylvester(C40)</f>
        <v>43465</v>
      </c>
      <c r="F40" s="1" t="s">
        <v>50</v>
      </c>
      <c r="G40" t="s">
        <v>17</v>
      </c>
      <c r="H40" t="s">
        <v>22</v>
      </c>
    </row>
    <row r="41" spans="1:8" x14ac:dyDescent="0.25">
      <c r="A41" s="1" t="s">
        <v>23</v>
      </c>
      <c r="B41" t="s">
        <v>51</v>
      </c>
      <c r="C41" s="4">
        <v>43459</v>
      </c>
      <c r="D41" s="5" t="s">
        <v>52</v>
      </c>
      <c r="E41" s="5" t="b">
        <f>IsHoliday(C41,D41)</f>
        <v>1</v>
      </c>
      <c r="F41" s="1" t="s">
        <v>53</v>
      </c>
      <c r="G41" t="s">
        <v>54</v>
      </c>
      <c r="H41" t="s">
        <v>18</v>
      </c>
    </row>
    <row r="42" spans="1:8" x14ac:dyDescent="0.25">
      <c r="A42" s="1" t="s">
        <v>23</v>
      </c>
      <c r="B42" t="s">
        <v>55</v>
      </c>
      <c r="F42" s="1" t="s">
        <v>56</v>
      </c>
    </row>
  </sheetData>
  <sortState xmlns:xlrd2="http://schemas.microsoft.com/office/spreadsheetml/2017/richdata2" ref="A15:E40">
    <sortCondition ref="E15:E40"/>
  </sortState>
  <mergeCells count="7">
    <mergeCell ref="H11:H12"/>
    <mergeCell ref="A11:A12"/>
    <mergeCell ref="B11:B12"/>
    <mergeCell ref="C12:D12"/>
    <mergeCell ref="C11:E11"/>
    <mergeCell ref="F11:F12"/>
    <mergeCell ref="G11:G12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Sanders</dc:creator>
  <cp:lastModifiedBy>Lukas Sanders</cp:lastModifiedBy>
  <dcterms:created xsi:type="dcterms:W3CDTF">2018-10-07T16:23:55Z</dcterms:created>
  <dcterms:modified xsi:type="dcterms:W3CDTF">2019-07-10T17:26:28Z</dcterms:modified>
</cp:coreProperties>
</file>